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ed81bfd74549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ssumptions" sheetId="1" r:id="R8774a7e0f23f4e2f"/>
    <x:sheet xmlns:r="http://schemas.openxmlformats.org/officeDocument/2006/relationships" name="Car Inputs" sheetId="2" r:id="R10a47b7d3b3c4a3a"/>
    <x:sheet xmlns:r="http://schemas.openxmlformats.org/officeDocument/2006/relationships" name="Calculations" sheetId="3" r:id="R6ffa76fc7d824e7b"/>
    <x:sheet xmlns:r="http://schemas.openxmlformats.org/officeDocument/2006/relationships" name="Results" sheetId="4" r:id="R73f73a3691764396"/>
    <x:sheet xmlns:r="http://schemas.openxmlformats.org/officeDocument/2006/relationships" name="Charts" sheetId="5" r:id="R9a5674111453429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12e0f6e5f834c78" /><Relationship Type="http://schemas.openxmlformats.org/officeDocument/2006/relationships/theme" Target="/xl/theme/theme1.xml" Id="R078af218be584595" /><Relationship Type="http://schemas.openxmlformats.org/officeDocument/2006/relationships/sharedStrings" Target="/xl/sharedStrings.xml" Id="Rc7732a038dba4519" /><Relationship Type="http://schemas.openxmlformats.org/officeDocument/2006/relationships/worksheet" Target="/xl/worksheets/sheet1.xml" Id="R8774a7e0f23f4e2f" /><Relationship Type="http://schemas.openxmlformats.org/officeDocument/2006/relationships/worksheet" Target="/xl/worksheets/sheet2.xml" Id="R10a47b7d3b3c4a3a" /><Relationship Type="http://schemas.openxmlformats.org/officeDocument/2006/relationships/worksheet" Target="/xl/worksheets/sheet3.xml" Id="R6ffa76fc7d824e7b" /><Relationship Type="http://schemas.openxmlformats.org/officeDocument/2006/relationships/worksheet" Target="/xl/worksheets/sheet4.xml" Id="R73f73a3691764396" /><Relationship Type="http://schemas.openxmlformats.org/officeDocument/2006/relationships/worksheet" Target="/xl/worksheets/sheet5.xml" Id="R9a5674111453429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8e330795e214a74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ayout/>
      <c:lineChart>
        <c:grouping val="standard"/>
        <c:ser>
          <c:idx val="0"/>
          <c:order val="0"/>
          <c:tx>
            <c:v>Tesla Model 3 New upfront</c:v>
          </c:tx>
          <c:cat>
            <c:strRef>
              <c:f>'Charts'!$A$2:$A$5</c:f>
              <c:strCache>
                <c:ptCount val="0"/>
              </c:strCache>
            </c:strRef>
          </c:cat>
          <c:val>
            <c:numRef>
              <c:f>'Charts'!$B$2:$B$5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Tesla Model 3 New finance</c:v>
          </c:tx>
          <c:cat>
            <c:strRef>
              <c:f>'Charts'!$A$2:$A$5</c:f>
              <c:strCache>
                <c:ptCount val="0"/>
              </c:strCache>
            </c:strRef>
          </c:cat>
          <c:val>
            <c:numRef>
              <c:f>'Charts'!$C$2:$C$5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2"/>
          <c:order val="2"/>
          <c:tx>
            <c:v>Cheap used EV upfront</c:v>
          </c:tx>
          <c:cat>
            <c:strRef>
              <c:f>'Charts'!$A$2:$A$5</c:f>
              <c:strCache>
                <c:ptCount val="0"/>
              </c:strCache>
            </c:strRef>
          </c:cat>
          <c:val>
            <c:numRef>
              <c:f>'Charts'!$D$2:$D$5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3"/>
          <c:order val="3"/>
          <c:tx>
            <c:v>Cheap used EV finance</c:v>
          </c:tx>
          <c:cat>
            <c:strRef>
              <c:f>'Charts'!$A$2:$A$5</c:f>
              <c:strCache>
                <c:ptCount val="0"/>
              </c:strCache>
            </c:strRef>
          </c:cat>
          <c:val>
            <c:numRef>
              <c:f>'Charts'!$E$2:$E$5</c:f>
              <c:numCache>
                <c:formatCode>General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0</xdr:row>
      <xdr:rowOff>0</xdr:rowOff>
    </xdr:from>
    <xdr:to>
      <xdr:col>14</xdr:col>
      <xdr:colOff>0</xdr:colOff>
      <xdr:row>16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8e330795e214a7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1.xml" Id="Rcb2de64ad23f4025" /></Relationships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Assumption</x:v>
      </x:c>
      <x:c r="B1" t="str">
        <x:v>Value</x:v>
      </x:c>
      <x:c r="C1" t="str">
        <x:v>Meaning</x:v>
      </x:c>
    </x:row>
    <x:row r="2">
      <x:c r="A2" t="str">
        <x:v>Initial cash available</x:v>
      </x:c>
      <x:c r="B2" t="n">
        <x:v>37975</x:v>
      </x:c>
      <x:c r="C2" t="str">
        <x:v>Cash available at month 0 for the car decision.</x:v>
      </x:c>
    </x:row>
    <x:row r="3">
      <x:c r="A3" t="str">
        <x:v>Monthly car budget</x:v>
      </x:c>
      <x:c r="B3" t="n">
        <x:v>500</x:v>
      </x:c>
      <x:c r="C3" t="str">
        <x:v>Unused monthly budget is invested.</x:v>
      </x:c>
    </x:row>
    <x:row r="4">
      <x:c r="A4" t="str">
        <x:v>Stock return</x:v>
      </x:c>
      <x:c r="B4" t="n">
        <x:v>0.08</x:v>
      </x:c>
      <x:c r="C4" t="str">
        <x:v>Annual return. Monthly rate is (1 + annual return)^(1/12) - 1.</x:v>
      </x:c>
    </x:row>
    <x:row r="5">
      <x:c r="A5" t="str">
        <x:v>Annual km</x:v>
      </x:c>
      <x:c r="B5" t="n">
        <x:v>25000</x:v>
      </x:c>
      <x:c r="C5" t="str">
        <x:v>Distance driven per year.</x:v>
      </x:c>
    </x:row>
    <x:row r="6">
      <x:c r="A6" t="str">
        <x:v>Fuel price</x:v>
      </x:c>
      <x:c r="B6" t="n">
        <x:v>1.75</x:v>
      </x:c>
      <x:c r="C6" t="str">
        <x:v>EUR per litre.</x:v>
      </x:c>
    </x:row>
    <x:row r="7">
      <x:c r="A7" t="str">
        <x:v>Home electricity price</x:v>
      </x:c>
      <x:c r="B7" t="n">
        <x:v>0</x:v>
      </x:c>
      <x:c r="C7" t="str">
        <x:v>EUR per kWh.</x:v>
      </x:c>
    </x:row>
    <x:row r="8">
      <x:c r="A8" t="str">
        <x:v>Public electricity price</x:v>
      </x:c>
      <x:c r="B8" t="n">
        <x:v>0.35</x:v>
      </x:c>
      <x:c r="C8" t="str">
        <x:v>EUR per kWh.</x:v>
      </x:c>
    </x:row>
    <x:row r="9">
      <x:c r="A9" t="str">
        <x:v>Home charging %</x:v>
      </x:c>
      <x:c r="B9" t="n">
        <x:v>1</x:v>
      </x:c>
      <x:c r="C9" t="str">
        <x:v>Home charging share.</x:v>
      </x:c>
    </x:row>
    <x:row r="10">
      <x:c r="A10" t="str">
        <x:v>Public charging %</x:v>
      </x:c>
      <x:c r="B10" t="n">
        <x:v>0</x:v>
      </x:c>
      <x:c r="C10" t="str">
        <x:v>Public charging share.</x:v>
      </x:c>
    </x:row>
    <x:row r="13">
      <x:c r="A13" t="str">
        <x:v>Formula</x:v>
      </x:c>
      <x:c r="B13" t="str">
        <x:v>Final money position</x:v>
      </x:c>
      <x:c r="C13" t="str">
        <x:v>investments left + car value left - loan still owed - budget deficits</x:v>
      </x:c>
    </x:row>
    <x:row r="14">
      <x:c r="A14" t="str">
        <x:v>Formula</x:v>
      </x:c>
      <x:c r="B14" t="str">
        <x:v>Month 0 upfront</x:v>
      </x:c>
      <x:c r="C14" t="str">
        <x:v>invest initial cash available - upfront price</x:v>
      </x:c>
    </x:row>
    <x:row r="15">
      <x:c r="A15" t="str">
        <x:v>Formula</x:v>
      </x:c>
      <x:c r="B15" t="str">
        <x:v>Month 0 finance</x:v>
      </x:c>
      <x:c r="C15" t="str">
        <x:v>invest initial cash available - down payment - fees</x:v>
      </x:c>
    </x:row>
    <x:row r="16">
      <x:c r="A16" t="str">
        <x:v>Formula</x:v>
      </x:c>
      <x:c r="B16" t="str">
        <x:v>Monthly investment</x:v>
      </x:c>
      <x:c r="C16" t="str">
        <x:v>max(0, monthly budget - loan payment - running cost)</x:v>
      </x:c>
    </x:row>
    <x:row r="17">
      <x:c r="A17" t="str">
        <x:v>Formula</x:v>
      </x:c>
      <x:c r="B17" t="str">
        <x:v>Monthly deficit</x:v>
      </x:c>
      <x:c r="C17" t="str">
        <x:v>max(0, loan payment + running cost - monthly budget)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Input</x:v>
      </x:c>
      <x:c r="B1" t="str">
        <x:v>Tesla Model 3 New</x:v>
      </x:c>
      <x:c r="C1" t="str">
        <x:v>Cheap used EV</x:v>
      </x:c>
    </x:row>
    <x:row r="2">
      <x:c r="A2" t="str">
        <x:v>Payment mode</x:v>
      </x:c>
      <x:c r="B2" t="str">
        <x:v>both</x:v>
      </x:c>
      <x:c r="C2" t="str">
        <x:v>both</x:v>
      </x:c>
    </x:row>
    <x:row r="3">
      <x:c r="A3" t="str">
        <x:v>Type</x:v>
      </x:c>
      <x:c r="B3" t="str">
        <x:v>electric</x:v>
      </x:c>
      <x:c r="C3" t="str">
        <x:v>electric</x:v>
      </x:c>
    </x:row>
    <x:row r="4">
      <x:c r="A4" t="str">
        <x:v>Upfront price</x:v>
      </x:c>
      <x:c r="B4" t="n">
        <x:v>36990</x:v>
      </x:c>
      <x:c r="C4" t="n">
        <x:v>18000</x:v>
      </x:c>
    </x:row>
    <x:row r="5">
      <x:c r="A5" t="str">
        <x:v>Down payment</x:v>
      </x:c>
      <x:c r="B5" t="n">
        <x:v>8650</x:v>
      </x:c>
      <x:c r="C5" t="n">
        <x:v>3500</x:v>
      </x:c>
    </x:row>
    <x:row r="6">
      <x:c r="A6" t="str">
        <x:v>Monthly payment</x:v>
      </x:c>
      <x:c r="B6" t="n">
        <x:v>349</x:v>
      </x:c>
      <x:c r="C6" t="n">
        <x:v>0</x:v>
      </x:c>
    </x:row>
    <x:row r="7">
      <x:c r="A7" t="str">
        <x:v>Loan months</x:v>
      </x:c>
      <x:c r="B7" t="n">
        <x:v>84</x:v>
      </x:c>
      <x:c r="C7" t="n">
        <x:v>60</x:v>
      </x:c>
    </x:row>
    <x:row r="8">
      <x:c r="A8" t="str">
        <x:v>TAEG</x:v>
      </x:c>
      <x:c r="B8" t="n">
        <x:v>0.0070999999999999995</x:v>
      </x:c>
      <x:c r="C8" t="n">
        <x:v>0.08</x:v>
      </x:c>
    </x:row>
    <x:row r="9">
      <x:c r="A9" t="str">
        <x:v>Opening fee</x:v>
      </x:c>
      <x:c r="B9" t="n">
        <x:v>0</x:v>
      </x:c>
      <x:c r="C9" t="n">
        <x:v>250</x:v>
      </x:c>
    </x:row>
    <x:row r="10">
      <x:c r="A10" t="str">
        <x:v>Balloon payment</x:v>
      </x:c>
      <x:c r="B10" t="n">
        <x:v>0</x:v>
      </x:c>
      <x:c r="C10" t="n">
        <x:v>0</x:v>
      </x:c>
    </x:row>
    <x:row r="11">
      <x:c r="A11" t="str">
        <x:v>kWh/100km</x:v>
      </x:c>
      <x:c r="B11" t="n">
        <x:v>14.5</x:v>
      </x:c>
      <x:c r="C11" t="n">
        <x:v>15.5</x:v>
      </x:c>
    </x:row>
    <x:row r="12">
      <x:c r="A12" t="str">
        <x:v>L/100km</x:v>
      </x:c>
      <x:c r="B12" t="n">
        <x:v>0</x:v>
      </x:c>
      <x:c r="C12" t="n">
        <x:v>0</x:v>
      </x:c>
    </x:row>
    <x:row r="13">
      <x:c r="A13" t="str">
        <x:v>Maintenance</x:v>
      </x:c>
      <x:c r="B13" t="n">
        <x:v>350</x:v>
      </x:c>
      <x:c r="C13" t="n">
        <x:v>400</x:v>
      </x:c>
    </x:row>
    <x:row r="14">
      <x:c r="A14" t="str">
        <x:v>Insurance</x:v>
      </x:c>
      <x:c r="B14" t="n">
        <x:v>750</x:v>
      </x:c>
      <x:c r="C14" t="n">
        <x:v>575</x:v>
      </x:c>
    </x:row>
    <x:row r="15">
      <x:c r="A15" t="str">
        <x:v>Repairs</x:v>
      </x:c>
      <x:c r="B15" t="n">
        <x:v>150</x:v>
      </x:c>
      <x:c r="C15" t="n">
        <x:v>500</x:v>
      </x:c>
    </x:row>
    <x:row r="16">
      <x:c r="A16" t="str">
        <x:v>Tax</x:v>
      </x:c>
      <x:c r="B16" t="n">
        <x:v>0</x:v>
      </x:c>
      <x:c r="C16" t="n">
        <x:v>0</x:v>
      </x:c>
    </x:row>
    <x:row r="17">
      <x:c r="A17" t="str">
        <x:v>3y resale</x:v>
      </x:c>
      <x:c r="B17" t="n">
        <x:v>25000</x:v>
      </x:c>
      <x:c r="C17" t="n">
        <x:v>11500</x:v>
      </x:c>
    </x:row>
    <x:row r="18">
      <x:c r="A18" t="str">
        <x:v>5y resale</x:v>
      </x:c>
      <x:c r="B18" t="n">
        <x:v>20500</x:v>
      </x:c>
      <x:c r="C18" t="n">
        <x:v>8500</x:v>
      </x:c>
    </x:row>
    <x:row r="19">
      <x:c r="A19" t="str">
        <x:v>7y resale</x:v>
      </x:c>
      <x:c r="B19" t="n">
        <x:v>16500</x:v>
      </x:c>
      <x:c r="C19" t="n">
        <x:v>5800</x:v>
      </x:c>
    </x:row>
    <x:row r="20">
      <x:c r="A20" t="str">
        <x:v>10y resale</x:v>
      </x:c>
      <x:c r="B20" t="n">
        <x:v>11500</x:v>
      </x:c>
      <x:c r="C20" t="n">
        <x:v>3000</x:v>
      </x:c>
    </x:row>
    <x:row r="21">
      <x:c r="A21" t="str">
        <x:v>Annual energy/fuel cost</x:v>
      </x:c>
      <x:c r="B21" t="n">
        <x:v>0</x:v>
      </x:c>
      <x:c r="C21" t="n">
        <x:v>0</x:v>
      </x:c>
    </x:row>
    <x:row r="22">
      <x:c r="A22" t="str">
        <x:v>Annual running cost</x:v>
      </x:c>
      <x:c r="B22" t="n">
        <x:v>1250</x:v>
      </x:c>
      <x:c r="C22" t="n">
        <x:v>1475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t="str">
        <x:v>Scenario</x:v>
      </x:c>
      <x:c r="B1" t="str">
        <x:v>Year</x:v>
      </x:c>
      <x:c r="C1" t="str">
        <x:v>Final money position</x:v>
      </x:c>
      <x:c r="D1" t="str">
        <x:v>Investments left</x:v>
      </x:c>
      <x:c r="E1" t="str">
        <x:v>Car value left</x:v>
      </x:c>
      <x:c r="F1" t="str">
        <x:v>Loan still owed</x:v>
      </x:c>
      <x:c r="G1" t="str">
        <x:v>Total paid</x:v>
      </x:c>
      <x:c r="H1" t="str">
        <x:v>Budget deficit</x:v>
      </x:c>
      <x:c r="I1" t="str">
        <x:v>Energy/fuel</x:v>
      </x:c>
      <x:c r="J1" t="str">
        <x:v>Financing cost</x:v>
      </x:c>
      <x:c r="L1" t="str">
        <x:v>No car baseline</x:v>
      </x:c>
      <x:c r="M1" t="str">
        <x:v>Year</x:v>
      </x:c>
      <x:c r="N1" t="str">
        <x:v>Initial cash invested</x:v>
      </x:c>
      <x:c r="O1" t="str">
        <x:v>Monthly budget invested</x:v>
      </x:c>
      <x:c r="P1" t="str">
        <x:v>Final baseline wealth</x:v>
      </x:c>
    </x:row>
    <x:row r="2">
      <x:c r="A2" t="str">
        <x:v>Tesla Model 3 New upfront</x:v>
      </x:c>
      <x:c r="B2" t="n">
        <x:v>3</x:v>
      </x:c>
      <x:c r="C2" t="n">
        <x:v>42218.77491034478</x:v>
      </x:c>
      <x:c r="D2" t="n">
        <x:v>17218.77491034478</x:v>
      </x:c>
      <x:c r="E2" t="n">
        <x:v>25000</x:v>
      </x:c>
      <x:c r="F2" t="n">
        <x:v>0</x:v>
      </x:c>
      <x:c r="G2" t="n">
        <x:v>40739.99999999991</x:v>
      </x:c>
      <x:c r="H2" t="n">
        <x:v>0</x:v>
      </x:c>
      <x:c r="I2" t="n">
        <x:v>0</x:v>
      </x:c>
      <x:c r="J2" t="n">
        <x:v>0</x:v>
      </x:c>
      <x:c r="L2" t="str">
        <x:v>No car</x:v>
      </x:c>
      <x:c r="M2" t="n">
        <x:v>3</x:v>
      </x:c>
      <x:c r="N2" t="n">
        <x:v>47837.56319999995</x:v>
      </x:c>
      <x:c r="O2" t="n">
        <x:v>20182.68453517234</x:v>
      </x:c>
      <x:c r="P2" t="n">
        <x:v>68020.24773517229</x:v>
      </x:c>
    </x:row>
    <x:row r="3">
      <x:c r="A3" t="str">
        <x:v>Tesla Model 3 New finance</x:v>
      </x:c>
      <x:c r="B3" t="n">
        <x:v>3</x:v>
      </x:c>
      <x:c r="C3" t="n">
        <x:v>47576.53120668484</x:v>
      </x:c>
      <x:c r="D3" t="n">
        <x:v>38831.499184794484</x:v>
      </x:c>
      <x:c r="E3" t="n">
        <x:v>25000</x:v>
      </x:c>
      <x:c r="F3" t="n">
        <x:v>16254.967978109638</x:v>
      </x:c>
      <x:c r="G3" t="n">
        <x:v>24964.00000000001</x:v>
      </x:c>
      <x:c r="H3" t="n">
        <x:v>0</x:v>
      </x:c>
      <x:c r="I3" t="n">
        <x:v>0</x:v>
      </x:c>
      <x:c r="J3" t="n">
        <x:v>976</x:v>
      </x:c>
      <x:c r="L3" t="str">
        <x:v>No car</x:v>
      </x:c>
      <x:c r="M3" t="n">
        <x:v>5</x:v>
      </x:c>
      <x:c r="N3" t="n">
        <x:v>55797.73371647992</x:v>
      </x:c>
      <x:c r="O3" t="n">
        <x:v>36472.32518156087</x:v>
      </x:c>
      <x:c r="P3" t="n">
        <x:v>92270.05889804079</x:v>
      </x:c>
    </x:row>
    <x:row r="4">
      <x:c r="A4" t="str">
        <x:v>Cheap used EV upfront</x:v>
      </x:c>
      <x:c r="B4" t="n">
        <x:v>3</x:v>
      </x:c>
      <x:c r="C4" t="n">
        <x:v>51883.85512027578</x:v>
      </x:c>
      <x:c r="D4" t="n">
        <x:v>40383.85512027578</x:v>
      </x:c>
      <x:c r="E4" t="n">
        <x:v>11500</x:v>
      </x:c>
      <x:c r="F4" t="n">
        <x:v>0</x:v>
      </x:c>
      <x:c r="G4" t="n">
        <x:v>22425.000000000044</x:v>
      </x:c>
      <x:c r="H4" t="n">
        <x:v>0</x:v>
      </x:c>
      <x:c r="I4" t="n">
        <x:v>0</x:v>
      </x:c>
      <x:c r="J4" t="n">
        <x:v>0</x:v>
      </x:c>
      <x:c r="L4" t="str">
        <x:v>No car</x:v>
      </x:c>
      <x:c r="M4" t="n">
        <x:v>7</x:v>
      </x:c>
      <x:c r="N4" t="n">
        <x:v>65082.476606902135</x:v>
      </x:c>
      <x:c r="O4" t="n">
        <x:v>55472.562031508416</x:v>
      </x:c>
      <x:c r="P4" t="n">
        <x:v>120555.03863841055</x:v>
      </x:c>
    </x:row>
    <x:row r="5">
      <x:c r="A5" t="str">
        <x:v>Cheap used EV finance</x:v>
      </x:c>
      <x:c r="B5" t="n">
        <x:v>3</x:v>
      </x:c>
      <x:c r="C5" t="n">
        <x:v>51149.654095195525</x:v>
      </x:c>
      <x:c r="D5" t="n">
        <x:v>46262.405071977744</x:v>
      </x:c>
      <x:c r="E5" t="n">
        <x:v>11500</x:v>
      </x:c>
      <x:c r="F5" t="n">
        <x:v>6612.750976782222</x:v>
      </x:c>
      <x:c r="G5" t="n">
        <x:v>18941.765367147742</x:v>
      </x:c>
      <x:c r="H5" t="n">
        <x:v>0</x:v>
      </x:c>
      <x:c r="I5" t="n">
        <x:v>0</x:v>
      </x:c>
      <x:c r="J5" t="n">
        <x:v>3694.608945246262</x:v>
      </x:c>
      <x:c r="L5" t="str">
        <x:v>No car</x:v>
      </x:c>
      <x:c r="M5" t="n">
        <x:v>10</x:v>
      </x:c>
      <x:c r="N5" t="n">
        <x:v>81985.17677143383</x:v>
      </x:c>
      <x:c r="O5" t="n">
        <x:v>90062.1365970078</x:v>
      </x:c>
      <x:c r="P5" t="n">
        <x:v>172047.31336844165</x:v>
      </x:c>
    </x:row>
    <x:row r="6">
      <x:c r="A6" t="str">
        <x:v>Tesla Model 3 New upfront</x:v>
      </x:c>
      <x:c r="B6" t="n">
        <x:v>5</x:v>
      </x:c>
      <x:c r="C6" t="n">
        <x:v>50821.212257716994</x:v>
      </x:c>
      <x:c r="D6" t="n">
        <x:v>30321.21225771699</x:v>
      </x:c>
      <x:c r="E6" t="n">
        <x:v>20500</x:v>
      </x:c>
      <x:c r="F6" t="n">
        <x:v>0</x:v>
      </x:c>
      <x:c r="G6" t="n">
        <x:v>43239.999999999854</x:v>
      </x:c>
      <x:c r="H6" t="n">
        <x:v>0</x:v>
      </x:c>
      <x:c r="I6" t="n">
        <x:v>0</x:v>
      </x:c>
      <x:c r="J6" t="n">
        <x:v>0</x:v>
      </x:c>
    </x:row>
    <x:row r="7">
      <x:c r="A7" t="str">
        <x:v>Tesla Model 3 New finance</x:v>
      </x:c>
      <x:c r="B7" t="n">
        <x:v>5</x:v>
      </x:c>
      <x:c r="C7" t="n">
        <x:v>58950.160827608895</x:v>
      </x:c>
      <x:c r="D7" t="n">
        <x:v>46504.286977499585</x:v>
      </x:c>
      <x:c r="E7" t="n">
        <x:v>20500</x:v>
      </x:c>
      <x:c r="F7" t="n">
        <x:v>8054.126149890681</x:v>
      </x:c>
      <x:c r="G7" t="n">
        <x:v>35840.000000000015</x:v>
      </x:c>
      <x:c r="H7" t="n">
        <x:v>0</x:v>
      </x:c>
      <x:c r="I7" t="n">
        <x:v>0</x:v>
      </x:c>
      <x:c r="J7" t="n">
        <x:v>976</x:v>
      </x:c>
    </x:row>
    <x:row r="8">
      <x:c r="A8" t="str">
        <x:v>Cheap used EV upfront</x:v>
      </x:c>
      <x:c r="B8" t="n">
        <x:v>5</x:v>
      </x:c>
      <x:c r="C8" t="n">
        <x:v>65356.0402418405</x:v>
      </x:c>
      <x:c r="D8" t="n">
        <x:v>56856.0402418405</x:v>
      </x:c>
      <x:c r="E8" t="n">
        <x:v>8500</x:v>
      </x:c>
      <x:c r="F8" t="n">
        <x:v>0</x:v>
      </x:c>
      <x:c r="G8" t="n">
        <x:v>25375.000000000073</x:v>
      </x:c>
      <x:c r="H8" t="n">
        <x:v>0</x:v>
      </x:c>
      <x:c r="I8" t="n">
        <x:v>0</x:v>
      </x:c>
      <x:c r="J8" t="n">
        <x:v>0</x:v>
      </x:c>
    </x:row>
    <x:row r="9">
      <x:c r="A9" t="str">
        <x:v>Cheap used EV finance</x:v>
      </x:c>
      <x:c r="B9" t="n">
        <x:v>5</x:v>
      </x:c>
      <x:c r="C9" t="n">
        <x:v>64477.91157934127</x:v>
      </x:c>
      <x:c r="D9" t="n">
        <x:v>55977.91157934127</x:v>
      </x:c>
      <x:c r="E9" t="n">
        <x:v>8500</x:v>
      </x:c>
      <x:c r="F9" t="n">
        <x:v>0</x:v>
      </x:c>
      <x:c r="G9" t="n">
        <x:v>29069.60894524623</x:v>
      </x:c>
      <x:c r="H9" t="n">
        <x:v>0</x:v>
      </x:c>
      <x:c r="I9" t="n">
        <x:v>0</x:v>
      </x:c>
      <x:c r="J9" t="n">
        <x:v>3694.608945246262</x:v>
      </x:c>
    </x:row>
    <x:row r="10">
      <x:c r="A10" t="str">
        <x:v>Tesla Model 3 New upfront</x:v>
      </x:c>
      <x:c r="B10" t="n">
        <x:v>7</x:v>
      </x:c>
      <x:c r="C10" t="n">
        <x:v>62103.895179692</x:v>
      </x:c>
      <x:c r="D10" t="n">
        <x:v>45603.895179692</x:v>
      </x:c>
      <x:c r="E10" t="n">
        <x:v>16500</x:v>
      </x:c>
      <x:c r="F10" t="n">
        <x:v>0</x:v>
      </x:c>
      <x:c r="G10" t="n">
        <x:v>45739.999999999796</x:v>
      </x:c>
      <x:c r="H10" t="n">
        <x:v>0</x:v>
      </x:c>
      <x:c r="I10" t="n">
        <x:v>0</x:v>
      </x:c>
      <x:c r="J10" t="n">
        <x:v>0</x:v>
      </x:c>
    </x:row>
    <x:row r="11">
      <x:c r="A11" t="str">
        <x:v>Tesla Model 3 New finance</x:v>
      </x:c>
      <x:c r="B11" t="n">
        <x:v>7</x:v>
      </x:c>
      <x:c r="C11" t="n">
        <x:v>71953.82665891081</x:v>
      </x:c>
      <x:c r="D11" t="n">
        <x:v>55453.82665891082</x:v>
      </x:c>
      <x:c r="E11" t="n">
        <x:v>16500</x:v>
      </x:c>
      <x:c r="F11" t="n">
        <x:v>0</x:v>
      </x:c>
      <x:c r="G11" t="n">
        <x:v>46715.999999999956</x:v>
      </x:c>
      <x:c r="H11" t="n">
        <x:v>0</x:v>
      </x:c>
      <x:c r="I11" t="n">
        <x:v>0</x:v>
      </x:c>
      <x:c r="J11" t="n">
        <x:v>976</x:v>
      </x:c>
    </x:row>
    <x:row r="12">
      <x:c r="A12" t="str">
        <x:v>Cheap used EV upfront</x:v>
      </x:c>
      <x:c r="B12" t="n">
        <x:v>7</x:v>
      </x:c>
      <x:c r="C12" t="n">
        <x:v>81869.19696763348</x:v>
      </x:c>
      <x:c r="D12" t="n">
        <x:v>76069.19696763348</x:v>
      </x:c>
      <x:c r="E12" t="n">
        <x:v>5800</x:v>
      </x:c>
      <x:c r="F12" t="n">
        <x:v>0</x:v>
      </x:c>
      <x:c r="G12" t="n">
        <x:v>28325.000000000102</x:v>
      </x:c>
      <x:c r="H12" t="n">
        <x:v>0</x:v>
      </x:c>
      <x:c r="I12" t="n">
        <x:v>0</x:v>
      </x:c>
      <x:c r="J12" t="n">
        <x:v>0</x:v>
      </x:c>
    </x:row>
    <x:row r="13">
      <x:c r="A13" t="str">
        <x:v>Cheap used EV finance</x:v>
      </x:c>
      <x:c r="B13" t="n">
        <x:v>7</x:v>
      </x:c>
      <x:c r="C13" t="n">
        <x:v>80844.9476956944</x:v>
      </x:c>
      <x:c r="D13" t="n">
        <x:v>75044.9476956944</x:v>
      </x:c>
      <x:c r="E13" t="n">
        <x:v>5800</x:v>
      </x:c>
      <x:c r="F13" t="n">
        <x:v>0</x:v>
      </x:c>
      <x:c r="G13" t="n">
        <x:v>32019.60894524626</x:v>
      </x:c>
      <x:c r="H13" t="n">
        <x:v>0</x:v>
      </x:c>
      <x:c r="I13" t="n">
        <x:v>0</x:v>
      </x:c>
      <x:c r="J13" t="n">
        <x:v>3694.608945246262</x:v>
      </x:c>
    </x:row>
    <x:row r="14">
      <x:c r="A14" t="str">
        <x:v>Tesla Model 3 New upfront</x:v>
      </x:c>
      <x:c r="B14" t="n">
        <x:v>10</x:v>
      </x:c>
      <x:c r="C14" t="n">
        <x:v>84925.73259494492</x:v>
      </x:c>
      <x:c r="D14" t="n">
        <x:v>73425.73259494492</x:v>
      </x:c>
      <x:c r="E14" t="n">
        <x:v>11500</x:v>
      </x:c>
      <x:c r="F14" t="n">
        <x:v>0</x:v>
      </x:c>
      <x:c r="G14" t="n">
        <x:v>49489.99999999971</x:v>
      </x:c>
      <x:c r="H14" t="n">
        <x:v>0</x:v>
      </x:c>
      <x:c r="I14" t="n">
        <x:v>0</x:v>
      </x:c>
      <x:c r="J14" t="n">
        <x:v>0</x:v>
      </x:c>
    </x:row>
    <x:row r="15">
      <x:c r="A15" t="str">
        <x:v>Tesla Model 3 New finance</x:v>
      </x:c>
      <x:c r="B15" t="n">
        <x:v>10</x:v>
      </x:c>
      <x:c r="C15" t="n">
        <x:v>97333.80947849446</x:v>
      </x:c>
      <x:c r="D15" t="n">
        <x:v>85833.80947849446</x:v>
      </x:c>
      <x:c r="E15" t="n">
        <x:v>11500</x:v>
      </x:c>
      <x:c r="F15" t="n">
        <x:v>0</x:v>
      </x:c>
      <x:c r="G15" t="n">
        <x:v>50465.99999999987</x:v>
      </x:c>
      <x:c r="H15" t="n">
        <x:v>0</x:v>
      </x:c>
      <x:c r="I15" t="n">
        <x:v>0</x:v>
      </x:c>
      <x:c r="J15" t="n">
        <x:v>976</x:v>
      </x:c>
    </x:row>
    <x:row r="16">
      <x:c r="A16" t="str">
        <x:v>Cheap used EV upfront</x:v>
      </x:c>
      <x:c r="B16" t="n">
        <x:v>10</x:v>
      </x:c>
      <x:c r="C16" t="n">
        <x:v>114046.38817076704</x:v>
      </x:c>
      <x:c r="D16" t="n">
        <x:v>111046.38817076704</x:v>
      </x:c>
      <x:c r="E16" t="n">
        <x:v>3000</x:v>
      </x:c>
      <x:c r="F16" t="n">
        <x:v>0</x:v>
      </x:c>
      <x:c r="G16" t="n">
        <x:v>32750.000000000146</x:v>
      </x:c>
      <x:c r="H16" t="n">
        <x:v>0</x:v>
      </x:c>
      <x:c r="I16" t="n">
        <x:v>0</x:v>
      </x:c>
      <x:c r="J16" t="n">
        <x:v>0</x:v>
      </x:c>
    </x:row>
    <x:row r="17">
      <x:c r="A17" t="str">
        <x:v>Cheap used EV finance</x:v>
      </x:c>
      <x:c r="B17" t="n">
        <x:v>10</x:v>
      </x:c>
      <x:c r="C17" t="n">
        <x:v>112756.12907191414</x:v>
      </x:c>
      <x:c r="D17" t="n">
        <x:v>109756.12907191414</x:v>
      </x:c>
      <x:c r="E17" t="n">
        <x:v>3000</x:v>
      </x:c>
      <x:c r="F17" t="n">
        <x:v>0</x:v>
      </x:c>
      <x:c r="G17" t="n">
        <x:v>36444.6089452462</x:v>
      </x:c>
      <x:c r="H17" t="n">
        <x:v>0</x:v>
      </x:c>
      <x:c r="I17" t="n">
        <x:v>0</x:v>
      </x:c>
      <x:c r="J17" t="n">
        <x:v>3694.608945246262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sheetData>
    <x:row r="1">
      <x:c r="A1" t="str">
        <x:v>Scenario</x:v>
      </x:c>
      <x:c r="B1" t="str">
        <x:v>3y final money position</x:v>
      </x:c>
      <x:c r="C1" t="str">
        <x:v>5y final money position</x:v>
      </x:c>
      <x:c r="D1" t="str">
        <x:v>7y final money position</x:v>
      </x:c>
      <x:c r="E1" t="str">
        <x:v>10y final money position</x:v>
      </x:c>
      <x:c r="F1" t="str">
        <x:v>10y investments left</x:v>
      </x:c>
      <x:c r="G1" t="str">
        <x:v>10y car value left</x:v>
      </x:c>
      <x:c r="H1" t="str">
        <x:v>10y loan still owed</x:v>
      </x:c>
      <x:c r="I1" t="str">
        <x:v>10y total paid</x:v>
      </x:c>
      <x:c r="J1" t="str">
        <x:v>Takeaway</x:v>
      </x:c>
    </x:row>
    <x:row r="2">
      <x:c r="A2" t="str">
        <x:v>Tesla Model 3 New upfront</x:v>
      </x:c>
      <x:c r="B2" t="n">
        <x:v>42218.77491034478</x:v>
      </x:c>
      <x:c r="C2" t="n">
        <x:v>50821.212257716994</x:v>
      </x:c>
      <x:c r="D2" t="n">
        <x:v>62103.895179692</x:v>
      </x:c>
      <x:c r="E2" t="n">
        <x:v>84925.73259494492</x:v>
      </x:c>
      <x:c r="F2" t="n">
        <x:v>73425.73259494492</x:v>
      </x:c>
      <x:c r="G2" t="n">
        <x:v>11500</x:v>
      </x:c>
      <x:c r="H2" t="n">
        <x:v>0</x:v>
      </x:c>
      <x:c r="I2" t="n">
        <x:v>49489.99999999971</x:v>
      </x:c>
      <x:c r="J2" t="str">
        <x:v>Leaves €29,121 less final money than Cheap used EV upfront.</x:v>
      </x:c>
    </x:row>
    <x:row r="3">
      <x:c r="A3" t="str">
        <x:v>Tesla Model 3 New finance</x:v>
      </x:c>
      <x:c r="B3" t="n">
        <x:v>47576.53120668484</x:v>
      </x:c>
      <x:c r="C3" t="n">
        <x:v>58950.160827608895</x:v>
      </x:c>
      <x:c r="D3" t="n">
        <x:v>71953.82665891081</x:v>
      </x:c>
      <x:c r="E3" t="n">
        <x:v>97333.80947849446</x:v>
      </x:c>
      <x:c r="F3" t="n">
        <x:v>85833.80947849446</x:v>
      </x:c>
      <x:c r="G3" t="n">
        <x:v>11500</x:v>
      </x:c>
      <x:c r="H3" t="n">
        <x:v>0</x:v>
      </x:c>
      <x:c r="I3" t="n">
        <x:v>50465.99999999987</x:v>
      </x:c>
      <x:c r="J3" t="str">
        <x:v>Leaves €16,713 less final money than Cheap used EV upfront.</x:v>
      </x:c>
    </x:row>
    <x:row r="4">
      <x:c r="A4" t="str">
        <x:v>Cheap used EV upfront</x:v>
      </x:c>
      <x:c r="B4" t="n">
        <x:v>51883.85512027578</x:v>
      </x:c>
      <x:c r="C4" t="n">
        <x:v>65356.0402418405</x:v>
      </x:c>
      <x:c r="D4" t="n">
        <x:v>81869.19696763348</x:v>
      </x:c>
      <x:c r="E4" t="n">
        <x:v>114046.38817076704</x:v>
      </x:c>
      <x:c r="F4" t="n">
        <x:v>111046.38817076704</x:v>
      </x:c>
      <x:c r="G4" t="n">
        <x:v>3000</x:v>
      </x:c>
      <x:c r="H4" t="n">
        <x:v>0</x:v>
      </x:c>
      <x:c r="I4" t="n">
        <x:v>32750.000000000146</x:v>
      </x:c>
      <x:c r="J4" t="str">
        <x:v>Leaves €1,290 more final money than Cheap used EV finance.</x:v>
      </x:c>
    </x:row>
    <x:row r="5">
      <x:c r="A5" t="str">
        <x:v>Cheap used EV finance</x:v>
      </x:c>
      <x:c r="B5" t="n">
        <x:v>51149.654095195525</x:v>
      </x:c>
      <x:c r="C5" t="n">
        <x:v>64477.91157934127</x:v>
      </x:c>
      <x:c r="D5" t="n">
        <x:v>80844.9476956944</x:v>
      </x:c>
      <x:c r="E5" t="n">
        <x:v>112756.12907191414</x:v>
      </x:c>
      <x:c r="F5" t="n">
        <x:v>109756.12907191414</x:v>
      </x:c>
      <x:c r="G5" t="n">
        <x:v>3000</x:v>
      </x:c>
      <x:c r="H5" t="n">
        <x:v>0</x:v>
      </x:c>
      <x:c r="I5" t="n">
        <x:v>36444.6089452462</x:v>
      </x:c>
      <x:c r="J5" t="str">
        <x:v>Leaves €1,290 less final money than Cheap used EV upfront.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sheetData>
    <x:row r="1">
      <x:c r="A1" t="str">
        <x:v>Year</x:v>
      </x:c>
      <x:c r="B1" t="str">
        <x:v>Tesla Model 3 New upfront</x:v>
      </x:c>
      <x:c r="C1" t="str">
        <x:v>Tesla Model 3 New finance</x:v>
      </x:c>
      <x:c r="D1" t="str">
        <x:v>Cheap used EV upfront</x:v>
      </x:c>
      <x:c r="E1" t="str">
        <x:v>Cheap used EV finance</x:v>
      </x:c>
    </x:row>
    <x:row r="2">
      <x:c r="A2" t="n">
        <x:v>3</x:v>
      </x:c>
      <x:c r="B2" t="n">
        <x:v>42218.77491034478</x:v>
      </x:c>
      <x:c r="C2" t="n">
        <x:v>47576.53120668484</x:v>
      </x:c>
      <x:c r="D2" t="n">
        <x:v>51883.85512027578</x:v>
      </x:c>
      <x:c r="E2" t="n">
        <x:v>51149.654095195525</x:v>
      </x:c>
    </x:row>
    <x:row r="3">
      <x:c r="A3" t="n">
        <x:v>5</x:v>
      </x:c>
      <x:c r="B3" t="n">
        <x:v>50821.212257716994</x:v>
      </x:c>
      <x:c r="C3" t="n">
        <x:v>58950.160827608895</x:v>
      </x:c>
      <x:c r="D3" t="n">
        <x:v>65356.0402418405</x:v>
      </x:c>
      <x:c r="E3" t="n">
        <x:v>64477.91157934127</x:v>
      </x:c>
    </x:row>
    <x:row r="4">
      <x:c r="A4" t="n">
        <x:v>7</x:v>
      </x:c>
      <x:c r="B4" t="n">
        <x:v>62103.895179692</x:v>
      </x:c>
      <x:c r="C4" t="n">
        <x:v>71953.82665891081</x:v>
      </x:c>
      <x:c r="D4" t="n">
        <x:v>81869.19696763348</x:v>
      </x:c>
      <x:c r="E4" t="n">
        <x:v>80844.9476956944</x:v>
      </x:c>
    </x:row>
    <x:row r="5">
      <x:c r="A5" t="n">
        <x:v>10</x:v>
      </x:c>
      <x:c r="B5" t="n">
        <x:v>84925.73259494492</x:v>
      </x:c>
      <x:c r="C5" t="n">
        <x:v>97333.80947849446</x:v>
      </x:c>
      <x:c r="D5" t="n">
        <x:v>114046.38817076704</x:v>
      </x:c>
      <x:c r="E5" t="n">
        <x:v>112756.12907191414</x:v>
      </x:c>
    </x:row>
  </x:sheetData>
  <x:pageMargins left="0.7" right="0.7" top="0.75" bottom="0.75" header="0.3" footer="0.3"/>
  <x:drawing xmlns:r="http://schemas.openxmlformats.org/officeDocument/2006/relationships" r:id="Rcb2de64ad23f4025"/>
</x:worksheet>
</file>